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ules" sheetId="2" state="visible" r:id="rId4"/>
    <sheet name="Scoring" sheetId="3" state="visible" r:id="rId5"/>
    <sheet name="Limitations" sheetId="4" state="visible" r:id="rId6"/>
  </sheets>
  <definedNames>
    <definedName function="false" hidden="false" name="MaxScore" vbProcedure="false">Scoring!$E$9</definedName>
    <definedName function="false" hidden="false" name="Pts_Duplicate" vbProcedure="false">Rules!$C$23</definedName>
    <definedName function="false" hidden="false" name="Pts_HighAmount" vbProcedure="false">Rules!$C$7</definedName>
    <definedName function="false" hidden="false" name="Pts_HighVelocity" vbProcedure="false">Rules!$C$15</definedName>
    <definedName function="false" hidden="false" name="ReviewThreshold" vbProcedure="false">Scoring!$E$10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<sst xmlns="http://schemas.openxmlformats.org/spreadsheetml/2006/main" count="164" uniqueCount="103">
  <si>
    <t xml:space="preserve">Transaction Fraud Detection — Rule Documentation</t>
  </si>
  <si>
    <t xml:space="preserve">Initial rule-based rules that identify suspicious patterns, not confirmed fraud.</t>
  </si>
  <si>
    <t xml:space="preserve">Rules  ›</t>
  </si>
  <si>
    <t xml:space="preserve">Scoring  ›</t>
  </si>
  <si>
    <t xml:space="preserve">Limitations  ›</t>
  </si>
  <si>
    <t xml:space="preserve">RULES</t>
  </si>
  <si>
    <t xml:space="preserve">MAXIMUM RISK SCORE</t>
  </si>
  <si>
    <t xml:space="preserve">REVIEW THRESHOLD</t>
  </si>
  <si>
    <t xml:space="preserve">POINTS PER RULE</t>
  </si>
  <si>
    <t xml:space="preserve">High Amount · High Velocity · Duplicate-Like</t>
  </si>
  <si>
    <t xml:space="preserve">total score is capped here</t>
  </si>
  <si>
    <t xml:space="preserve">FlagForReview from this score</t>
  </si>
  <si>
    <t xml:space="preserve">added for each triggered rule</t>
  </si>
  <si>
    <t xml:space="preserve">RULES AT A GLANCE</t>
  </si>
  <si>
    <t xml:space="preserve">Rule</t>
  </si>
  <si>
    <t xml:space="preserve">Rule code</t>
  </si>
  <si>
    <t xml:space="preserve">Points</t>
  </si>
  <si>
    <t xml:space="preserve">Condition</t>
  </si>
  <si>
    <t xml:space="preserve">High Amount</t>
  </si>
  <si>
    <t xml:space="preserve">HighAmount</t>
  </si>
  <si>
    <t xml:space="preserve">The transaction amount is greater than 1,000.</t>
  </si>
  <si>
    <t xml:space="preserve">High Velocity</t>
  </si>
  <si>
    <t xml:space="preserve">HighVelocity</t>
  </si>
  <si>
    <t xml:space="preserve">More than 5 transactions from the same user occur within a rolling 10-minute window, including the current transaction.</t>
  </si>
  <si>
    <t xml:space="preserve">Duplicate-Like Transaction</t>
  </si>
  <si>
    <t xml:space="preserve">DuplicateLikeTransaction</t>
  </si>
  <si>
    <t xml:space="preserve">At least two transactions occur within a rolling 2-minute window with the same User ID, Merchant ID, Amount and Currency. The current transaction is included in the comparison.</t>
  </si>
  <si>
    <t xml:space="preserve">HOW A TRANSACTION IS SCORED</t>
  </si>
  <si>
    <t xml:space="preserve">1 · EVALUATE</t>
  </si>
  <si>
    <t xml:space="preserve">2 · ADD POINTS</t>
  </si>
  <si>
    <t xml:space="preserve">3 · CAP</t>
  </si>
  <si>
    <t xml:space="preserve">4 · DECIDE</t>
  </si>
  <si>
    <t xml:space="preserve">Check the transaction against the three rules.</t>
  </si>
  <si>
    <t xml:space="preserve">Add the points of every rule that is triggered.</t>
  </si>
  <si>
    <t xml:space="preserve">DECISION</t>
  </si>
  <si>
    <t xml:space="preserve">ALLOW</t>
  </si>
  <si>
    <t xml:space="preserve">FLAGFORREVIEW</t>
  </si>
  <si>
    <t xml:space="preserve">Below the review threshold. Not a guarantee of legitimacy.</t>
  </si>
  <si>
    <t xml:space="preserve">Needs additional investigation. Not proof of fraud.</t>
  </si>
  <si>
    <t xml:space="preserve">Important: These are initial rule-based fraud detection rules. They identify suspicious patterns, not confirmed fraud.</t>
  </si>
  <si>
    <t xml:space="preserve">Rules</t>
  </si>
  <si>
    <t xml:space="preserve">The three rule definitions exactly as documented. Points (blue) feed the Scoring sheet.</t>
  </si>
  <si>
    <t xml:space="preserve">← Overview</t>
  </si>
  <si>
    <t xml:space="preserve">1   High Amount</t>
  </si>
  <si>
    <t xml:space="preserve">Rule Code</t>
  </si>
  <si>
    <t xml:space="preserve">Added to the risk score when this rule is triggered.</t>
  </si>
  <si>
    <t xml:space="preserve">Why is it suspicious?</t>
  </si>
  <si>
    <t xml:space="preserve">A high-value transaction can cause greater financial loss if it is fraudulent. It may deserve additional attention, especially when the amount is unusual for the customer's normal behavior.</t>
  </si>
  <si>
    <t xml:space="preserve">Example</t>
  </si>
  <si>
    <t xml:space="preserve">Important</t>
  </si>
  <si>
    <t xml:space="preserve">A high amount does not automatically mean fraud. Legitimate customers can make expensive purchases.</t>
  </si>
  <si>
    <t xml:space="preserve">2   High Velocity</t>
  </si>
  <si>
    <t xml:space="preserve">A large number of transactions in a short period can indicate automated activity, a compromised account, or an attempt to make multiple payments before the fraud is detected.</t>
  </si>
  <si>
    <t xml:space="preserve">Frequent transactions can also be legitimate. For example, a customer may make several small purchases in a short period.</t>
  </si>
  <si>
    <t xml:space="preserve">3   Duplicate-Like Transaction</t>
  </si>
  <si>
    <t xml:space="preserve">At least two transactions occur within a rolling 2-minute window with the same:
• User ID
• Merchant ID
• Amount
• Currency
The current transaction is included in the comparison.</t>
  </si>
  <si>
    <t xml:space="preserve">Repeated transactions with identical details within a short period may indicate a duplicate payment, repeated payment attempts, or automated activity. They could also result from a system or user error rather than fraud.</t>
  </si>
  <si>
    <t xml:space="preserve">Identical transactions do not prove fraud. A customer might legitimately make the same purchase twice.</t>
  </si>
  <si>
    <t xml:space="preserve">Risk Score and Decision</t>
  </si>
  <si>
    <t xml:space="preserve">How rule points become a total score and a decision. Blue cells are editable.</t>
  </si>
  <si>
    <t xml:space="preserve">HOW THE SCORE IS CALCULATED</t>
  </si>
  <si>
    <t xml:space="preserve">Parameter</t>
  </si>
  <si>
    <t xml:space="preserve">Value</t>
  </si>
  <si>
    <t xml:space="preserve">Note</t>
  </si>
  <si>
    <t xml:space="preserve">Maximum risk score (cap)</t>
  </si>
  <si>
    <t xml:space="preserve">The total score never exceeds this value.</t>
  </si>
  <si>
    <t xml:space="preserve">Review threshold</t>
  </si>
  <si>
    <t xml:space="preserve">A total score at or above this value is FlagForReview.</t>
  </si>
  <si>
    <t xml:space="preserve">Risk score</t>
  </si>
  <si>
    <t xml:space="preserve">Decision</t>
  </si>
  <si>
    <t xml:space="preserve">Meaning</t>
  </si>
  <si>
    <t xml:space="preserve">Allow</t>
  </si>
  <si>
    <t xml:space="preserve">Below the configured review threshold. It does not guarantee the transaction is legitimate.</t>
  </si>
  <si>
    <t xml:space="preserve">FlagForReview</t>
  </si>
  <si>
    <t xml:space="preserve">The transaction should receive additional investigation. It does not prove fraud.</t>
  </si>
  <si>
    <t xml:space="preserve">EXAMPLE COMBINATIONS</t>
  </si>
  <si>
    <t xml:space="preserve">Triggered rules</t>
  </si>
  <si>
    <t xml:space="preserve">Duplicate-Like</t>
  </si>
  <si>
    <t xml:space="preserve">Points added</t>
  </si>
  <si>
    <t xml:space="preserve">Total score</t>
  </si>
  <si>
    <t xml:space="preserve">Documented score</t>
  </si>
  <si>
    <t xml:space="preserve">Documented decision</t>
  </si>
  <si>
    <t xml:space="preserve">Check</t>
  </si>
  <si>
    <t xml:space="preserve">Yes</t>
  </si>
  <si>
    <t xml:space="preserve">—</t>
  </si>
  <si>
    <t xml:space="preserve">High Amount + High Velocity</t>
  </si>
  <si>
    <t xml:space="preserve">All three rules</t>
  </si>
  <si>
    <t xml:space="preserve">Calculated columns use the points on the Rules sheet. Documented columns are copied from the rule documentation (the last row shows 100 because the raw total of 120 is capped).</t>
  </si>
  <si>
    <t xml:space="preserve">TOTAL SCORE BY EXAMPLE COMBINATION</t>
  </si>
  <si>
    <t xml:space="preserve">TRY IT YOURSELF</t>
  </si>
  <si>
    <t xml:space="preserve">Is the rule triggered?</t>
  </si>
  <si>
    <t xml:space="preserve">Select</t>
  </si>
  <si>
    <t xml:space="preserve">Result</t>
  </si>
  <si>
    <t xml:space="preserve">Total score (capped)</t>
  </si>
  <si>
    <t xml:space="preserve">No</t>
  </si>
  <si>
    <t xml:space="preserve">Important Limitations</t>
  </si>
  <si>
    <t xml:space="preserve">Read before relying on any score or decision.</t>
  </si>
  <si>
    <t xml:space="preserve">These are initial rule-based fraud detection rules. They identify suspicious patterns, not confirmed fraud.</t>
  </si>
  <si>
    <t xml:space="preserve">LIMITATIONS</t>
  </si>
  <si>
    <t xml:space="preserve">Allow means the transaction is below the configured review threshold; it does not guarantee the transaction is legitimate.</t>
  </si>
  <si>
    <t xml:space="preserve">FlagForReview means the transaction should receive additional investigation; it does not prove fraud.</t>
  </si>
  <si>
    <t xml:space="preserve">Point values &amp; thresholds</t>
  </si>
  <si>
    <t xml:space="preserve">The point values and thresholds are initial business rules and should be evaluated against real transaction data before production use.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</si>
</sst>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\+0"/>
    <numFmt numFmtId="167" formatCode="\+0&quot; POINTS&quot;"/>
    <numFmt numFmtId="168" formatCode="0&quot; (capped)&quot;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u val="single"/>
      <sz val="10"/>
      <color rgb="FF2F5597"/>
      <name val="Arial"/>
      <family val="0"/>
      <charset val="1"/>
    </font>
    <font>
      <b val="true"/>
      <sz val="9"/>
      <color rgb="FF7F7F7F"/>
      <name val="Arial"/>
      <family val="0"/>
      <charset val="1"/>
    </font>
    <font>
      <b val="true"/>
      <sz val="26"/>
      <color rgb="FF1B2A41"/>
      <name val="Arial"/>
      <family val="0"/>
      <charset val="1"/>
    </font>
    <font>
      <b val="true"/>
      <sz val="26"/>
      <color rgb="FFC00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B2A4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8"/>
      <color rgb="FF2F5597"/>
      <name val="Courier New"/>
      <family val="0"/>
      <charset val="1"/>
    </font>
    <font>
      <b val="true"/>
      <sz val="11"/>
      <color rgb="FF1B2A4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24"/>
      <color rgb="FF2E7D32"/>
      <name val="Arial"/>
      <family val="0"/>
      <charset val="1"/>
    </font>
    <font>
      <b val="true"/>
      <sz val="24"/>
      <color rgb="FFC00000"/>
      <name val="Arial"/>
      <family val="0"/>
      <charset val="1"/>
    </font>
    <font>
      <i val="true"/>
      <sz val="9"/>
      <color rgb="FF2E7D32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u val="single"/>
      <sz val="9"/>
      <color rgb="FF2F5597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1B2A41"/>
      <name val="Arial"/>
      <family val="0"/>
      <charset val="1"/>
    </font>
    <font>
      <b val="true"/>
      <sz val="10"/>
      <color rgb="FF1B2A41"/>
      <name val="Arial"/>
      <family val="0"/>
      <charset val="1"/>
    </font>
    <font>
      <b val="true"/>
      <sz val="11"/>
      <color rgb="FF2F5597"/>
      <name val="Courier New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0"/>
      <color rgb="FF7F6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8"/>
      <color rgb="FF7F7F7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1B2A41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7F6000"/>
      <name val="Arial"/>
      <family val="0"/>
      <charset val="1"/>
    </font>
    <font>
      <b val="true"/>
      <sz val="11"/>
      <color rgb="FF7F6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1"/>
        <bgColor rgb="FF003366"/>
      </patternFill>
    </fill>
    <fill>
      <patternFill patternType="solid">
        <fgColor rgb="FFF5F7FA"/>
        <bgColor rgb="FFFFFFFF"/>
      </patternFill>
    </fill>
    <fill>
      <patternFill patternType="solid">
        <fgColor rgb="FF2F5597"/>
        <bgColor rgb="FF44546A"/>
      </patternFill>
    </fill>
    <fill>
      <patternFill patternType="solid">
        <fgColor rgb="FFE8EEF7"/>
        <bgColor rgb="FFF5F7FA"/>
      </patternFill>
    </fill>
    <fill>
      <patternFill patternType="solid">
        <fgColor rgb="FF44546A"/>
        <bgColor rgb="FF595959"/>
      </patternFill>
    </fill>
    <fill>
      <patternFill patternType="solid">
        <fgColor rgb="FFD9EAD3"/>
        <bgColor rgb="FFDDE3EA"/>
      </patternFill>
    </fill>
    <fill>
      <patternFill patternType="solid">
        <fgColor rgb="FFF8D7DA"/>
        <bgColor rgb="FFD9D9D9"/>
      </patternFill>
    </fill>
    <fill>
      <patternFill patternType="solid">
        <fgColor rgb="FFFFF2CC"/>
        <bgColor rgb="FFF5F7FA"/>
      </patternFill>
    </fill>
    <fill>
      <patternFill patternType="solid">
        <fgColor rgb="FFFFD966"/>
        <bgColor rgb="FFFFCC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DDE3EA"/>
      </left>
      <right style="thin">
        <color rgb="FFDDE3EA"/>
      </right>
      <top style="thick">
        <color rgb="FF2F5597"/>
      </top>
      <bottom/>
      <diagonal/>
    </border>
    <border diagonalUp="false" diagonalDown="false">
      <left style="thin">
        <color rgb="FFDDE3EA"/>
      </left>
      <right style="thin">
        <color rgb="FFDDE3EA"/>
      </right>
      <top style="thick">
        <color rgb="FFBF9000"/>
      </top>
      <bottom/>
      <diagonal/>
    </border>
    <border diagonalUp="false" diagonalDown="false">
      <left style="thin">
        <color rgb="FFDDE3EA"/>
      </left>
      <right style="thin">
        <color rgb="FFDDE3EA"/>
      </right>
      <top style="thick">
        <color rgb="FFC00000"/>
      </top>
      <bottom/>
      <diagonal/>
    </border>
    <border diagonalUp="false" diagonalDown="false">
      <left style="thin">
        <color rgb="FFDDE3EA"/>
      </left>
      <right style="thin">
        <color rgb="FFDDE3EA"/>
      </right>
      <top style="thick">
        <color rgb="FF2E7D32"/>
      </top>
      <bottom/>
      <diagonal/>
    </border>
    <border diagonalUp="false" diagonalDown="false">
      <left style="thin">
        <color rgb="FFDDE3EA"/>
      </left>
      <right style="thin">
        <color rgb="FFDDE3EA"/>
      </right>
      <top/>
      <bottom/>
      <diagonal/>
    </border>
    <border diagonalUp="false" diagonalDown="false">
      <left style="thin">
        <color rgb="FFDDE3EA"/>
      </left>
      <right style="thin">
        <color rgb="FFDDE3EA"/>
      </right>
      <top/>
      <bottom style="thin">
        <color rgb="FFDDE3EA"/>
      </bottom>
      <diagonal/>
    </border>
    <border diagonalUp="false" diagonalDown="false"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  <border diagonalUp="false" diagonalDown="false">
      <left style="thick">
        <color rgb="FFBF9000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2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6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0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29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7" fillId="5" borderId="7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6" fillId="0" borderId="7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30" fillId="9" borderId="7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5" fillId="3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9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3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3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7F6000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2E7D32"/>
      </font>
      <fill>
        <patternFill>
          <bgColor rgb="FFD9EAD3"/>
        </patternFill>
      </fill>
    </dxf>
    <dxf>
      <font>
        <name val="Arial"/>
        <charset val="1"/>
        <family val="0"/>
        <b val="1"/>
        <color rgb="FFC00000"/>
        <sz val="13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2E7D32"/>
        <sz val="13"/>
      </font>
      <fill>
        <patternFill>
          <bgColor rgb="FFD9EAD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DDE3EA"/>
      <rgbColor rgb="FF7F7F7F"/>
      <rgbColor rgb="FF5B9BD5"/>
      <rgbColor rgb="FF993366"/>
      <rgbColor rgb="FFFFF2CC"/>
      <rgbColor rgb="FFE8EEF7"/>
      <rgbColor rgb="FF660066"/>
      <rgbColor rgb="FFE06666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D9EAD3"/>
      <rgbColor rgb="FFF8D7DA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BF9000"/>
      <rgbColor rgb="FFFF6600"/>
      <rgbColor rgb="FF595959"/>
      <rgbColor rgb="FF878787"/>
      <rgbColor rgb="FF003366"/>
      <rgbColor rgb="FF2E7D32"/>
      <rgbColor rgb="FF003300"/>
      <rgbColor rgb="FF44546A"/>
      <rgbColor rgb="FF993300"/>
      <rgbColor rgb="FF993366"/>
      <rgbColor rgb="FF2F5597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Scoring!N18</c:f>
              <c:strCache>
                <c:ptCount val="1"/>
                <c:pt idx="0">
                  <c:v>Allow</c:v>
                </c:pt>
              </c:strCache>
            </c:strRef>
          </c:tx>
          <c:spPr>
            <a:solidFill>
              <a:srgbClr val="5b9bd5"/>
            </a:solidFill>
            <a:ln w="0">
              <a:solidFill>
                <a:srgbClr val="5b9bd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Scoring!$B$19:$B$23</c:f>
              <c:strCache>
                <c:ptCount val="5"/>
                <c:pt idx="0">
                  <c:v>High Amount</c:v>
                </c:pt>
                <c:pt idx="1">
                  <c:v>High Velocity</c:v>
                </c:pt>
                <c:pt idx="2">
                  <c:v>Duplicate-Like Transaction</c:v>
                </c:pt>
                <c:pt idx="3">
                  <c:v>High Amount + High Velocity</c:v>
                </c:pt>
                <c:pt idx="4">
                  <c:v>All three rules</c:v>
                </c:pt>
              </c:strCache>
            </c:strRef>
          </c:cat>
          <c:val>
            <c:numRef>
              <c:f>Scoring!$N$19:$N$23</c:f>
              <c:numCache>
                <c:formatCode>0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Scoring!O18</c:f>
              <c:strCache>
                <c:ptCount val="1"/>
                <c:pt idx="0">
                  <c:v>FlagForReview</c:v>
                </c:pt>
              </c:strCache>
            </c:strRef>
          </c:tx>
          <c:spPr>
            <a:solidFill>
              <a:srgbClr val="e06666"/>
            </a:solidFill>
            <a:ln w="0">
              <a:solidFill>
                <a:srgbClr val="e0666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Scoring!$B$19:$B$23</c:f>
              <c:strCache>
                <c:ptCount val="5"/>
                <c:pt idx="0">
                  <c:v>High Amount</c:v>
                </c:pt>
                <c:pt idx="1">
                  <c:v>High Velocity</c:v>
                </c:pt>
                <c:pt idx="2">
                  <c:v>Duplicate-Like Transaction</c:v>
                </c:pt>
                <c:pt idx="3">
                  <c:v>High Amount + High Velocity</c:v>
                </c:pt>
                <c:pt idx="4">
                  <c:v>All three rules</c:v>
                </c:pt>
              </c:strCache>
            </c:strRef>
          </c:cat>
          <c:val>
            <c:numRef>
              <c:f>Scoring!$O$19:$O$23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50</c:v>
                </c:pt>
                <c:pt idx="3">
                  <c:v>70</c:v>
                </c:pt>
                <c:pt idx="4">
                  <c:v>100</c:v>
                </c:pt>
              </c:numCache>
            </c:numRef>
          </c:val>
        </c:ser>
        <c:gapWidth val="60"/>
        <c:overlap val="100"/>
        <c:axId val="71302833"/>
        <c:axId val="5359915"/>
      </c:barChart>
      <c:lineChart>
        <c:grouping val="stacked"/>
        <c:varyColors val="0"/>
        <c:ser>
          <c:idx val="2"/>
          <c:order val="2"/>
          <c:tx>
            <c:strRef>
              <c:f>Scoring!P18</c:f>
              <c:strCache>
                <c:ptCount val="1"/>
                <c:pt idx="0">
                  <c:v>Review threshold</c:v>
                </c:pt>
              </c:strCache>
            </c:strRef>
          </c:tx>
          <c:spPr>
            <a:solidFill>
              <a:srgbClr val="1b2a41"/>
            </a:solidFill>
            <a:ln w="21960">
              <a:solidFill>
                <a:srgbClr val="1b2a4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Scoring!$B$19:$B$23</c:f>
              <c:strCache>
                <c:ptCount val="5"/>
                <c:pt idx="0">
                  <c:v>High Amount</c:v>
                </c:pt>
                <c:pt idx="1">
                  <c:v>High Velocity</c:v>
                </c:pt>
                <c:pt idx="2">
                  <c:v>Duplicate-Like Transaction</c:v>
                </c:pt>
                <c:pt idx="3">
                  <c:v>High Amount + High Velocity</c:v>
                </c:pt>
                <c:pt idx="4">
                  <c:v>All three rules</c:v>
                </c:pt>
              </c:strCache>
            </c:strRef>
          </c:cat>
          <c:val>
            <c:numRef>
              <c:f>Scoring!$P$19:$P$23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302833"/>
        <c:axId val="5359915"/>
      </c:lineChart>
      <c:catAx>
        <c:axId val="713028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59915"/>
        <c:crosses val="autoZero"/>
        <c:auto val="1"/>
        <c:lblAlgn val="ctr"/>
        <c:lblOffset val="100"/>
        <c:noMultiLvlLbl val="0"/>
      </c:catAx>
      <c:valAx>
        <c:axId val="5359915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02833"/>
        <c:crosses val="autoZero"/>
        <c:crossBetween val="between"/>
        <c:majorUnit val="25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26</xdr:row>
      <xdr:rowOff>0</xdr:rowOff>
    </xdr:from>
    <xdr:to>
      <xdr:col>11</xdr:col>
      <xdr:colOff>477360</xdr:colOff>
      <xdr:row>39</xdr:row>
      <xdr:rowOff>187200</xdr:rowOff>
    </xdr:to>
    <xdr:graphicFrame>
      <xdr:nvGraphicFramePr>
        <xdr:cNvPr id="0" name="Chart 1"/>
        <xdr:cNvGraphicFramePr/>
      </xdr:nvGraphicFramePr>
      <xdr:xfrm>
        <a:off x="141120" y="7305840"/>
        <a:ext cx="10979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1"/>
    <pageSetUpPr fitToPage="true"/>
  </sheetPr>
  <dimension ref="B1:M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1.5"/>
    <col collapsed="false" customWidth="true" hidden="false" outlineLevel="0" max="14" min="14" style="0" width="2"/>
  </cols>
  <sheetData>
    <row r="1" customFormat="false" ht="24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4" hidden="false" customHeight="tru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21.75" hidden="false" customHeight="true" outlineLevel="0" collapsed="false">
      <c r="B4" s="3" t="s">
        <v>2</v>
      </c>
      <c r="C4" s="3"/>
      <c r="D4" s="3"/>
      <c r="E4" s="3" t="s">
        <v>3</v>
      </c>
      <c r="F4" s="3"/>
      <c r="G4" s="3"/>
      <c r="H4" s="3" t="s">
        <v>4</v>
      </c>
      <c r="I4" s="3"/>
      <c r="J4" s="3"/>
    </row>
    <row r="6" customFormat="false" ht="21.75" hidden="false" customHeight="true" outlineLevel="0" collapsed="false">
      <c r="B6" s="4" t="s">
        <v>5</v>
      </c>
      <c r="C6" s="4"/>
      <c r="D6" s="4"/>
      <c r="E6" s="5" t="s">
        <v>6</v>
      </c>
      <c r="F6" s="5"/>
      <c r="G6" s="5"/>
      <c r="H6" s="6" t="s">
        <v>7</v>
      </c>
      <c r="I6" s="6"/>
      <c r="J6" s="6"/>
      <c r="K6" s="7" t="s">
        <v>8</v>
      </c>
      <c r="L6" s="7"/>
      <c r="M6" s="7"/>
    </row>
    <row r="7" customFormat="false" ht="42" hidden="false" customHeight="true" outlineLevel="0" collapsed="false">
      <c r="B7" s="8" t="n">
        <f aca="false">COUNTA(Rules!C6,Rules!C14,Rules!C22)</f>
        <v>3</v>
      </c>
      <c r="C7" s="8"/>
      <c r="D7" s="8"/>
      <c r="E7" s="8" t="n">
        <f aca="false">MaxScore</f>
        <v>100</v>
      </c>
      <c r="F7" s="8"/>
      <c r="G7" s="8"/>
      <c r="H7" s="9" t="n">
        <f aca="false">ReviewThreshold</f>
        <v>50</v>
      </c>
      <c r="I7" s="9"/>
      <c r="J7" s="9"/>
      <c r="K7" s="10" t="str">
        <f aca="false">"+"&amp;MIN(Pts_HighAmount,Pts_HighVelocity,Pts_Duplicate)&amp;" to +"&amp;MAX(Pts_HighAmount,Pts_HighVelocity,Pts_Duplicate)</f>
        <v>+30 to +50</v>
      </c>
      <c r="L7" s="10"/>
      <c r="M7" s="10"/>
    </row>
    <row r="8" customFormat="false" ht="21.75" hidden="false" customHeight="true" outlineLevel="0" collapsed="false">
      <c r="B8" s="11" t="s">
        <v>9</v>
      </c>
      <c r="C8" s="11"/>
      <c r="D8" s="11"/>
      <c r="E8" s="11" t="s">
        <v>10</v>
      </c>
      <c r="F8" s="11"/>
      <c r="G8" s="11"/>
      <c r="H8" s="11" t="s">
        <v>11</v>
      </c>
      <c r="I8" s="11"/>
      <c r="J8" s="11"/>
      <c r="K8" s="11" t="s">
        <v>12</v>
      </c>
      <c r="L8" s="11"/>
      <c r="M8" s="11"/>
    </row>
    <row r="10" customFormat="false" ht="21.75" hidden="false" customHeight="true" outlineLevel="0" collapsed="false">
      <c r="B10" s="12" t="s">
        <v>13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customFormat="false" ht="24" hidden="false" customHeight="true" outlineLevel="0" collapsed="false">
      <c r="B11" s="13" t="s">
        <v>14</v>
      </c>
      <c r="C11" s="13"/>
      <c r="D11" s="13"/>
      <c r="E11" s="13" t="s">
        <v>15</v>
      </c>
      <c r="F11" s="13"/>
      <c r="G11" s="13" t="s">
        <v>16</v>
      </c>
      <c r="H11" s="13" t="s">
        <v>17</v>
      </c>
      <c r="I11" s="13"/>
      <c r="J11" s="13"/>
      <c r="K11" s="13"/>
      <c r="L11" s="13"/>
      <c r="M11" s="13"/>
    </row>
    <row r="12" customFormat="false" ht="42" hidden="false" customHeight="true" outlineLevel="0" collapsed="false">
      <c r="B12" s="14" t="s">
        <v>18</v>
      </c>
      <c r="C12" s="14"/>
      <c r="D12" s="14"/>
      <c r="E12" s="15" t="s">
        <v>19</v>
      </c>
      <c r="F12" s="15"/>
      <c r="G12" s="16" t="n">
        <f aca="false">Pts_HighAmount</f>
        <v>30</v>
      </c>
      <c r="H12" s="17" t="s">
        <v>20</v>
      </c>
      <c r="I12" s="17"/>
      <c r="J12" s="17"/>
      <c r="K12" s="17"/>
      <c r="L12" s="17"/>
      <c r="M12" s="17"/>
    </row>
    <row r="13" customFormat="false" ht="42" hidden="false" customHeight="true" outlineLevel="0" collapsed="false">
      <c r="B13" s="14" t="s">
        <v>21</v>
      </c>
      <c r="C13" s="14"/>
      <c r="D13" s="14"/>
      <c r="E13" s="15" t="s">
        <v>22</v>
      </c>
      <c r="F13" s="15"/>
      <c r="G13" s="16" t="n">
        <f aca="false">Pts_HighVelocity</f>
        <v>40</v>
      </c>
      <c r="H13" s="17" t="s">
        <v>23</v>
      </c>
      <c r="I13" s="17"/>
      <c r="J13" s="17"/>
      <c r="K13" s="17"/>
      <c r="L13" s="17"/>
      <c r="M13" s="17"/>
    </row>
    <row r="14" customFormat="false" ht="42" hidden="false" customHeight="true" outlineLevel="0" collapsed="false">
      <c r="B14" s="14" t="s">
        <v>24</v>
      </c>
      <c r="C14" s="14"/>
      <c r="D14" s="14"/>
      <c r="E14" s="15" t="s">
        <v>25</v>
      </c>
      <c r="F14" s="15"/>
      <c r="G14" s="16" t="n">
        <f aca="false">Pts_Duplicate</f>
        <v>50</v>
      </c>
      <c r="H14" s="17" t="s">
        <v>26</v>
      </c>
      <c r="I14" s="17"/>
      <c r="J14" s="17"/>
      <c r="K14" s="17"/>
      <c r="L14" s="17"/>
      <c r="M14" s="17"/>
    </row>
    <row r="16" customFormat="false" ht="21.75" hidden="false" customHeight="true" outlineLevel="0" collapsed="false">
      <c r="B16" s="12" t="s">
        <v>27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customFormat="false" ht="24" hidden="false" customHeight="true" outlineLevel="0" collapsed="false">
      <c r="B17" s="18" t="s">
        <v>28</v>
      </c>
      <c r="C17" s="18"/>
      <c r="D17" s="18"/>
      <c r="E17" s="18" t="s">
        <v>29</v>
      </c>
      <c r="F17" s="18"/>
      <c r="G17" s="18"/>
      <c r="H17" s="18" t="s">
        <v>30</v>
      </c>
      <c r="I17" s="18"/>
      <c r="J17" s="18"/>
      <c r="K17" s="18" t="s">
        <v>31</v>
      </c>
      <c r="L17" s="18"/>
      <c r="M17" s="18"/>
    </row>
    <row r="18" customFormat="false" ht="43.5" hidden="false" customHeight="true" outlineLevel="0" collapsed="false">
      <c r="B18" s="19" t="s">
        <v>32</v>
      </c>
      <c r="C18" s="19"/>
      <c r="D18" s="19"/>
      <c r="E18" s="19" t="s">
        <v>33</v>
      </c>
      <c r="F18" s="19"/>
      <c r="G18" s="19"/>
      <c r="H18" s="19" t="str">
        <f aca="false">"Cap the total score at "&amp;MaxScore&amp;"."</f>
        <v>Cap the total score at 100.</v>
      </c>
      <c r="I18" s="19"/>
      <c r="J18" s="19"/>
      <c r="K18" s="19" t="str">
        <f aca="false">"0–"&amp;(ReviewThreshold-1)&amp;" Allow  ·  "&amp;ReviewThreshold&amp;"–"&amp;MaxScore&amp;" FlagForReview"</f>
        <v>0–49 Allow  ·  50–100 FlagForReview</v>
      </c>
      <c r="L18" s="19"/>
      <c r="M18" s="19"/>
    </row>
    <row r="20" customFormat="false" ht="21.75" hidden="false" customHeight="true" outlineLevel="0" collapsed="false">
      <c r="B20" s="12" t="s">
        <v>34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customFormat="false" ht="21.75" hidden="false" customHeight="true" outlineLevel="0" collapsed="false">
      <c r="B21" s="20" t="s">
        <v>35</v>
      </c>
      <c r="C21" s="20"/>
      <c r="D21" s="20"/>
      <c r="E21" s="20"/>
      <c r="F21" s="20"/>
      <c r="G21" s="20"/>
      <c r="H21" s="21" t="s">
        <v>36</v>
      </c>
      <c r="I21" s="21"/>
      <c r="J21" s="21"/>
      <c r="K21" s="21"/>
      <c r="L21" s="21"/>
      <c r="M21" s="21"/>
    </row>
    <row r="22" customFormat="false" ht="39.75" hidden="false" customHeight="true" outlineLevel="0" collapsed="false">
      <c r="B22" s="22" t="str">
        <f aca="false">"0–"&amp;(ReviewThreshold-1)</f>
        <v>0–49</v>
      </c>
      <c r="C22" s="22"/>
      <c r="D22" s="22"/>
      <c r="E22" s="22"/>
      <c r="F22" s="22"/>
      <c r="G22" s="22"/>
      <c r="H22" s="23" t="str">
        <f aca="false">ReviewThreshold&amp;"–"&amp;MaxScore</f>
        <v>50–100</v>
      </c>
      <c r="I22" s="23"/>
      <c r="J22" s="23"/>
      <c r="K22" s="23"/>
      <c r="L22" s="23"/>
      <c r="M22" s="23"/>
    </row>
    <row r="23" customFormat="false" ht="21.75" hidden="false" customHeight="true" outlineLevel="0" collapsed="false">
      <c r="B23" s="24" t="s">
        <v>37</v>
      </c>
      <c r="C23" s="24"/>
      <c r="D23" s="24"/>
      <c r="E23" s="24"/>
      <c r="F23" s="24"/>
      <c r="G23" s="24"/>
      <c r="H23" s="25" t="s">
        <v>38</v>
      </c>
      <c r="I23" s="25"/>
      <c r="J23" s="25"/>
      <c r="K23" s="25"/>
      <c r="L23" s="25"/>
      <c r="M23" s="25"/>
    </row>
    <row r="25" customFormat="false" ht="33.75" hidden="false" customHeight="true" outlineLevel="0" collapsed="false">
      <c r="B25" s="26" t="s">
        <v>39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</row>
  </sheetData>
  <mergeCells count="47">
    <mergeCell ref="B1:M2"/>
    <mergeCell ref="B3:M3"/>
    <mergeCell ref="B4:D4"/>
    <mergeCell ref="E4:G4"/>
    <mergeCell ref="H4:J4"/>
    <mergeCell ref="B6:D6"/>
    <mergeCell ref="E6:G6"/>
    <mergeCell ref="H6:J6"/>
    <mergeCell ref="K6:M6"/>
    <mergeCell ref="B7:D7"/>
    <mergeCell ref="E7:G7"/>
    <mergeCell ref="H7:J7"/>
    <mergeCell ref="K7:M7"/>
    <mergeCell ref="B8:D8"/>
    <mergeCell ref="E8:G8"/>
    <mergeCell ref="H8:J8"/>
    <mergeCell ref="K8:M8"/>
    <mergeCell ref="B10:M10"/>
    <mergeCell ref="B11:D11"/>
    <mergeCell ref="E11:F11"/>
    <mergeCell ref="H11:M11"/>
    <mergeCell ref="B12:D12"/>
    <mergeCell ref="E12:F12"/>
    <mergeCell ref="H12:M12"/>
    <mergeCell ref="B13:D13"/>
    <mergeCell ref="E13:F13"/>
    <mergeCell ref="H13:M13"/>
    <mergeCell ref="B14:D14"/>
    <mergeCell ref="E14:F14"/>
    <mergeCell ref="H14:M14"/>
    <mergeCell ref="B16:M16"/>
    <mergeCell ref="B17:D17"/>
    <mergeCell ref="E17:G17"/>
    <mergeCell ref="H17:J17"/>
    <mergeCell ref="K17:M17"/>
    <mergeCell ref="B18:D18"/>
    <mergeCell ref="E18:G18"/>
    <mergeCell ref="H18:J18"/>
    <mergeCell ref="K18:M18"/>
    <mergeCell ref="B20:M20"/>
    <mergeCell ref="B21:G21"/>
    <mergeCell ref="H21:M21"/>
    <mergeCell ref="B22:G22"/>
    <mergeCell ref="H22:M22"/>
    <mergeCell ref="B23:G23"/>
    <mergeCell ref="H23:M23"/>
    <mergeCell ref="B25:M25"/>
  </mergeCells>
  <hyperlinks>
    <hyperlink ref="B4" location="Rules!A1" display="Rules  ›"/>
    <hyperlink ref="E4" location="Scoring!A1" display="Scoring  ›"/>
    <hyperlink ref="H4" location="Limitations!A1" display="Limitations  ›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B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8" min="3" style="0" width="15"/>
  </cols>
  <sheetData>
    <row r="1" customFormat="false" ht="24" hidden="false" customHeight="true" outlineLevel="0" collapsed="false">
      <c r="B1" s="1" t="s">
        <v>40</v>
      </c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B2" s="1"/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B3" s="2" t="s">
        <v>41</v>
      </c>
      <c r="C3" s="2"/>
      <c r="D3" s="2"/>
      <c r="E3" s="2"/>
      <c r="F3" s="2"/>
      <c r="G3" s="2"/>
      <c r="H3" s="27" t="s">
        <v>42</v>
      </c>
    </row>
    <row r="5" customFormat="false" ht="30" hidden="false" customHeight="true" outlineLevel="0" collapsed="false">
      <c r="B5" s="28" t="s">
        <v>43</v>
      </c>
      <c r="C5" s="28"/>
      <c r="D5" s="28"/>
      <c r="E5" s="28"/>
      <c r="F5" s="28"/>
      <c r="G5" s="29" t="n">
        <f aca="false">C7</f>
        <v>30</v>
      </c>
      <c r="H5" s="29"/>
    </row>
    <row r="6" customFormat="false" ht="24" hidden="false" customHeight="true" outlineLevel="0" collapsed="false">
      <c r="B6" s="30" t="s">
        <v>44</v>
      </c>
      <c r="C6" s="31" t="s">
        <v>19</v>
      </c>
      <c r="D6" s="31"/>
      <c r="E6" s="31"/>
      <c r="F6" s="31"/>
      <c r="G6" s="31"/>
      <c r="H6" s="31"/>
    </row>
    <row r="7" customFormat="false" ht="24" hidden="false" customHeight="true" outlineLevel="0" collapsed="false">
      <c r="B7" s="30" t="s">
        <v>16</v>
      </c>
      <c r="C7" s="32" t="n">
        <v>30</v>
      </c>
      <c r="D7" s="33" t="s">
        <v>45</v>
      </c>
      <c r="E7" s="33"/>
      <c r="F7" s="33"/>
      <c r="G7" s="33"/>
      <c r="H7" s="33"/>
    </row>
    <row r="8" customFormat="false" ht="23.25" hidden="false" customHeight="true" outlineLevel="0" collapsed="false">
      <c r="B8" s="34" t="s">
        <v>17</v>
      </c>
      <c r="C8" s="35" t="s">
        <v>20</v>
      </c>
      <c r="D8" s="35"/>
      <c r="E8" s="35"/>
      <c r="F8" s="35"/>
      <c r="G8" s="35"/>
      <c r="H8" s="35"/>
    </row>
    <row r="9" customFormat="false" ht="50.25" hidden="false" customHeight="true" outlineLevel="0" collapsed="false">
      <c r="B9" s="34" t="s">
        <v>46</v>
      </c>
      <c r="C9" s="35" t="s">
        <v>47</v>
      </c>
      <c r="D9" s="35"/>
      <c r="E9" s="35"/>
      <c r="F9" s="35"/>
      <c r="G9" s="35"/>
      <c r="H9" s="35"/>
    </row>
    <row r="10" customFormat="false" ht="50.25" hidden="false" customHeight="true" outlineLevel="0" collapsed="false">
      <c r="B10" s="34" t="s">
        <v>48</v>
      </c>
      <c r="C10" s="35" t="str">
        <f aca="false">"• Transaction amount: 1,500 SAR"&amp;CHAR(10)&amp;"• Rule triggered: Yes"&amp;CHAR(10)&amp;"• Risk score added: "&amp;$C$7&amp;" points"</f>
        <v>• Transaction amount: 1,500 SAR
• Rule triggered: Yes
• Risk score added: 30 points</v>
      </c>
      <c r="D10" s="35"/>
      <c r="E10" s="35"/>
      <c r="F10" s="35"/>
      <c r="G10" s="35"/>
      <c r="H10" s="35"/>
    </row>
    <row r="11" customFormat="false" ht="36.75" hidden="false" customHeight="true" outlineLevel="0" collapsed="false">
      <c r="B11" s="34" t="s">
        <v>49</v>
      </c>
      <c r="C11" s="36" t="s">
        <v>50</v>
      </c>
      <c r="D11" s="36"/>
      <c r="E11" s="36"/>
      <c r="F11" s="36"/>
      <c r="G11" s="36"/>
      <c r="H11" s="36"/>
    </row>
    <row r="13" customFormat="false" ht="30" hidden="false" customHeight="true" outlineLevel="0" collapsed="false">
      <c r="B13" s="28" t="s">
        <v>51</v>
      </c>
      <c r="C13" s="28"/>
      <c r="D13" s="28"/>
      <c r="E13" s="28"/>
      <c r="F13" s="28"/>
      <c r="G13" s="29" t="n">
        <f aca="false">C15</f>
        <v>40</v>
      </c>
      <c r="H13" s="29"/>
    </row>
    <row r="14" customFormat="false" ht="24" hidden="false" customHeight="true" outlineLevel="0" collapsed="false">
      <c r="B14" s="30" t="s">
        <v>44</v>
      </c>
      <c r="C14" s="31" t="s">
        <v>22</v>
      </c>
      <c r="D14" s="31"/>
      <c r="E14" s="31"/>
      <c r="F14" s="31"/>
      <c r="G14" s="31"/>
      <c r="H14" s="31"/>
    </row>
    <row r="15" customFormat="false" ht="24" hidden="false" customHeight="true" outlineLevel="0" collapsed="false">
      <c r="B15" s="30" t="s">
        <v>16</v>
      </c>
      <c r="C15" s="32" t="n">
        <v>40</v>
      </c>
      <c r="D15" s="33" t="s">
        <v>45</v>
      </c>
      <c r="E15" s="33"/>
      <c r="F15" s="33"/>
      <c r="G15" s="33"/>
      <c r="H15" s="33"/>
    </row>
    <row r="16" customFormat="false" ht="36.75" hidden="false" customHeight="true" outlineLevel="0" collapsed="false">
      <c r="B16" s="34" t="s">
        <v>17</v>
      </c>
      <c r="C16" s="35" t="s">
        <v>23</v>
      </c>
      <c r="D16" s="35"/>
      <c r="E16" s="35"/>
      <c r="F16" s="35"/>
      <c r="G16" s="35"/>
      <c r="H16" s="35"/>
    </row>
    <row r="17" customFormat="false" ht="36.75" hidden="false" customHeight="true" outlineLevel="0" collapsed="false">
      <c r="B17" s="34" t="s">
        <v>46</v>
      </c>
      <c r="C17" s="35" t="s">
        <v>52</v>
      </c>
      <c r="D17" s="35"/>
      <c r="E17" s="35"/>
      <c r="F17" s="35"/>
      <c r="G17" s="35"/>
      <c r="H17" s="35"/>
    </row>
    <row r="18" customFormat="false" ht="50.25" hidden="false" customHeight="true" outlineLevel="0" collapsed="false">
      <c r="B18" s="34" t="s">
        <v>48</v>
      </c>
      <c r="C18" s="35" t="str">
        <f aca="false">"• A user makes 6 transactions within 10 minutes."&amp;CHAR(10)&amp;"• Rule triggered: Yes"&amp;CHAR(10)&amp;"• Risk score added: "&amp;$C$15&amp;" points"</f>
        <v>• A user makes 6 transactions within 10 minutes.
• Rule triggered: Yes
• Risk score added: 40 points</v>
      </c>
      <c r="D18" s="35"/>
      <c r="E18" s="35"/>
      <c r="F18" s="35"/>
      <c r="G18" s="35"/>
      <c r="H18" s="35"/>
    </row>
    <row r="19" customFormat="false" ht="36.75" hidden="false" customHeight="true" outlineLevel="0" collapsed="false">
      <c r="B19" s="34" t="s">
        <v>49</v>
      </c>
      <c r="C19" s="36" t="s">
        <v>53</v>
      </c>
      <c r="D19" s="36"/>
      <c r="E19" s="36"/>
      <c r="F19" s="36"/>
      <c r="G19" s="36"/>
      <c r="H19" s="36"/>
    </row>
    <row r="21" customFormat="false" ht="30" hidden="false" customHeight="true" outlineLevel="0" collapsed="false">
      <c r="B21" s="28" t="s">
        <v>54</v>
      </c>
      <c r="C21" s="28"/>
      <c r="D21" s="28"/>
      <c r="E21" s="28"/>
      <c r="F21" s="28"/>
      <c r="G21" s="29" t="n">
        <f aca="false">C23</f>
        <v>50</v>
      </c>
      <c r="H21" s="29"/>
    </row>
    <row r="22" customFormat="false" ht="24" hidden="false" customHeight="true" outlineLevel="0" collapsed="false">
      <c r="B22" s="30" t="s">
        <v>44</v>
      </c>
      <c r="C22" s="31" t="s">
        <v>25</v>
      </c>
      <c r="D22" s="31"/>
      <c r="E22" s="31"/>
      <c r="F22" s="31"/>
      <c r="G22" s="31"/>
      <c r="H22" s="31"/>
    </row>
    <row r="23" customFormat="false" ht="24" hidden="false" customHeight="true" outlineLevel="0" collapsed="false">
      <c r="B23" s="30" t="s">
        <v>16</v>
      </c>
      <c r="C23" s="32" t="n">
        <v>50</v>
      </c>
      <c r="D23" s="33" t="s">
        <v>45</v>
      </c>
      <c r="E23" s="33"/>
      <c r="F23" s="33"/>
      <c r="G23" s="33"/>
      <c r="H23" s="33"/>
    </row>
    <row r="24" customFormat="false" ht="104.25" hidden="false" customHeight="true" outlineLevel="0" collapsed="false">
      <c r="B24" s="34" t="s">
        <v>17</v>
      </c>
      <c r="C24" s="35" t="s">
        <v>55</v>
      </c>
      <c r="D24" s="35"/>
      <c r="E24" s="35"/>
      <c r="F24" s="35"/>
      <c r="G24" s="35"/>
      <c r="H24" s="35"/>
    </row>
    <row r="25" customFormat="false" ht="50.25" hidden="false" customHeight="true" outlineLevel="0" collapsed="false">
      <c r="B25" s="34" t="s">
        <v>46</v>
      </c>
      <c r="C25" s="35" t="s">
        <v>56</v>
      </c>
      <c r="D25" s="35"/>
      <c r="E25" s="35"/>
      <c r="F25" s="35"/>
      <c r="G25" s="35"/>
      <c r="H25" s="35"/>
    </row>
    <row r="26" customFormat="false" ht="77.25" hidden="false" customHeight="true" outlineLevel="0" collapsed="false">
      <c r="B26" s="34" t="s">
        <v>48</v>
      </c>
      <c r="C26" s="35" t="str">
        <f aca="false">"• First transaction: 200 SAR at Merchant A."&amp;CHAR(10)&amp;"• Second transaction: 200 SAR at Merchant A, 30 seconds later."&amp;CHAR(10)&amp;"• Same user and currency."&amp;CHAR(10)&amp;"• Rule triggered: Yes"&amp;CHAR(10)&amp;"• Risk score added: "&amp;$C$23&amp;" points"</f>
        <v>• First transaction: 200 SAR at Merchant A.
• Second transaction: 200 SAR at Merchant A, 30 seconds later.
• Same user and currency.
• Rule triggered: Yes
• Risk score added: 50 points</v>
      </c>
      <c r="D26" s="35"/>
      <c r="E26" s="35"/>
      <c r="F26" s="35"/>
      <c r="G26" s="35"/>
      <c r="H26" s="35"/>
    </row>
    <row r="27" customFormat="false" ht="36.75" hidden="false" customHeight="true" outlineLevel="0" collapsed="false">
      <c r="B27" s="34" t="s">
        <v>49</v>
      </c>
      <c r="C27" s="36" t="s">
        <v>57</v>
      </c>
      <c r="D27" s="36"/>
      <c r="E27" s="36"/>
      <c r="F27" s="36"/>
      <c r="G27" s="36"/>
      <c r="H27" s="36"/>
    </row>
  </sheetData>
  <mergeCells count="26">
    <mergeCell ref="B1:H2"/>
    <mergeCell ref="B3:G3"/>
    <mergeCell ref="B5:F5"/>
    <mergeCell ref="G5:H5"/>
    <mergeCell ref="C6:H6"/>
    <mergeCell ref="D7:H7"/>
    <mergeCell ref="C8:H8"/>
    <mergeCell ref="C9:H9"/>
    <mergeCell ref="C10:H10"/>
    <mergeCell ref="C11:H11"/>
    <mergeCell ref="B13:F13"/>
    <mergeCell ref="G13:H13"/>
    <mergeCell ref="C14:H14"/>
    <mergeCell ref="D15:H15"/>
    <mergeCell ref="C16:H16"/>
    <mergeCell ref="C17:H17"/>
    <mergeCell ref="C18:H18"/>
    <mergeCell ref="C19:H19"/>
    <mergeCell ref="B21:F21"/>
    <mergeCell ref="G21:H21"/>
    <mergeCell ref="C22:H22"/>
    <mergeCell ref="D23:H23"/>
    <mergeCell ref="C24:H24"/>
    <mergeCell ref="C25:H25"/>
    <mergeCell ref="C26:H26"/>
    <mergeCell ref="C27:H27"/>
  </mergeCells>
  <hyperlinks>
    <hyperlink ref="H3" location="Overview!A1" display="← Overvie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true"/>
  </sheetPr>
  <dimension ref="B1:P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8" min="7" style="0" width="12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true" outlineLevel="0" max="16" min="14" style="0" width="9"/>
  </cols>
  <sheetData>
    <row r="1" customFormat="false" ht="24" hidden="false" customHeight="true" outlineLevel="0" collapsed="false">
      <c r="B1" s="1" t="s">
        <v>58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4" hidden="false" customHeight="tru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9.5" hidden="false" customHeight="true" outlineLevel="0" collapsed="false">
      <c r="B3" s="2" t="s">
        <v>59</v>
      </c>
      <c r="C3" s="2"/>
      <c r="D3" s="2"/>
      <c r="E3" s="2"/>
      <c r="F3" s="2"/>
      <c r="G3" s="2"/>
      <c r="H3" s="2"/>
      <c r="I3" s="2"/>
      <c r="J3" s="2"/>
      <c r="K3" s="2"/>
      <c r="L3" s="27" t="s">
        <v>42</v>
      </c>
    </row>
    <row r="5" customFormat="false" ht="21.75" hidden="false" customHeight="true" outlineLevel="0" collapsed="false">
      <c r="B5" s="12" t="s">
        <v>60</v>
      </c>
      <c r="C5" s="12"/>
      <c r="D5" s="12"/>
      <c r="E5" s="12"/>
      <c r="F5" s="12"/>
      <c r="G5" s="12"/>
      <c r="H5" s="12"/>
      <c r="I5" s="12"/>
      <c r="J5" s="12"/>
      <c r="K5" s="12"/>
      <c r="L5" s="12"/>
    </row>
    <row r="6" customFormat="false" ht="27.75" hidden="false" customHeight="true" outlineLevel="0" collapsed="false">
      <c r="B6" s="37" t="str">
        <f aca="false">"The API adds the points awarded by all triggered rules and caps the total score at "&amp;MaxScore&amp;"."</f>
        <v>The API adds the points awarded by all triggered rules and caps the total score at 100.</v>
      </c>
      <c r="C6" s="37"/>
      <c r="D6" s="37"/>
      <c r="E6" s="37"/>
      <c r="F6" s="37"/>
      <c r="G6" s="37"/>
      <c r="H6" s="37"/>
      <c r="I6" s="37"/>
      <c r="J6" s="37"/>
      <c r="K6" s="37"/>
      <c r="L6" s="37"/>
    </row>
    <row r="8" customFormat="false" ht="24" hidden="false" customHeight="true" outlineLevel="0" collapsed="false">
      <c r="B8" s="13" t="s">
        <v>61</v>
      </c>
      <c r="C8" s="13"/>
      <c r="D8" s="13"/>
      <c r="E8" s="13" t="s">
        <v>62</v>
      </c>
      <c r="F8" s="13" t="s">
        <v>63</v>
      </c>
      <c r="G8" s="13"/>
      <c r="H8" s="13"/>
      <c r="I8" s="13"/>
      <c r="J8" s="13"/>
      <c r="K8" s="13"/>
      <c r="L8" s="13"/>
    </row>
    <row r="9" customFormat="false" ht="24" hidden="false" customHeight="true" outlineLevel="0" collapsed="false">
      <c r="B9" s="14" t="s">
        <v>64</v>
      </c>
      <c r="C9" s="14"/>
      <c r="D9" s="14"/>
      <c r="E9" s="38" t="n">
        <v>100</v>
      </c>
      <c r="F9" s="17" t="s">
        <v>65</v>
      </c>
      <c r="G9" s="17"/>
      <c r="H9" s="17"/>
      <c r="I9" s="17"/>
      <c r="J9" s="17"/>
      <c r="K9" s="17"/>
      <c r="L9" s="17"/>
    </row>
    <row r="10" customFormat="false" ht="24" hidden="false" customHeight="true" outlineLevel="0" collapsed="false">
      <c r="B10" s="14" t="s">
        <v>66</v>
      </c>
      <c r="C10" s="14"/>
      <c r="D10" s="14"/>
      <c r="E10" s="38" t="n">
        <v>50</v>
      </c>
      <c r="F10" s="17" t="s">
        <v>67</v>
      </c>
      <c r="G10" s="17"/>
      <c r="H10" s="17"/>
      <c r="I10" s="17"/>
      <c r="J10" s="17"/>
      <c r="K10" s="17"/>
      <c r="L10" s="17"/>
    </row>
    <row r="12" customFormat="false" ht="21.75" hidden="false" customHeight="true" outlineLevel="0" collapsed="false">
      <c r="B12" s="12" t="s">
        <v>34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customFormat="false" ht="24" hidden="false" customHeight="true" outlineLevel="0" collapsed="false">
      <c r="B13" s="13" t="s">
        <v>68</v>
      </c>
      <c r="C13" s="13"/>
      <c r="D13" s="13"/>
      <c r="E13" s="13" t="s">
        <v>69</v>
      </c>
      <c r="F13" s="13"/>
      <c r="G13" s="13"/>
      <c r="H13" s="13" t="s">
        <v>70</v>
      </c>
      <c r="I13" s="13"/>
      <c r="J13" s="13"/>
      <c r="K13" s="13"/>
      <c r="L13" s="13"/>
    </row>
    <row r="14" customFormat="false" ht="27.75" hidden="false" customHeight="true" outlineLevel="0" collapsed="false">
      <c r="B14" s="39" t="str">
        <f aca="false">"0–"&amp;(ReviewThreshold-1)</f>
        <v>0–49</v>
      </c>
      <c r="C14" s="39"/>
      <c r="D14" s="39"/>
      <c r="E14" s="40" t="s">
        <v>71</v>
      </c>
      <c r="F14" s="40"/>
      <c r="G14" s="40"/>
      <c r="H14" s="17" t="s">
        <v>72</v>
      </c>
      <c r="I14" s="17"/>
      <c r="J14" s="17"/>
      <c r="K14" s="17"/>
      <c r="L14" s="17"/>
    </row>
    <row r="15" customFormat="false" ht="27.75" hidden="false" customHeight="true" outlineLevel="0" collapsed="false">
      <c r="B15" s="39" t="str">
        <f aca="false">ReviewThreshold&amp;"–"&amp;MaxScore</f>
        <v>50–100</v>
      </c>
      <c r="C15" s="39"/>
      <c r="D15" s="39"/>
      <c r="E15" s="41" t="s">
        <v>73</v>
      </c>
      <c r="F15" s="41"/>
      <c r="G15" s="41"/>
      <c r="H15" s="17" t="s">
        <v>74</v>
      </c>
      <c r="I15" s="17"/>
      <c r="J15" s="17"/>
      <c r="K15" s="17"/>
      <c r="L15" s="17"/>
    </row>
    <row r="17" customFormat="false" ht="21.75" hidden="false" customHeight="true" outlineLevel="0" collapsed="false">
      <c r="B17" s="12" t="s">
        <v>75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customFormat="false" ht="31.5" hidden="false" customHeight="true" outlineLevel="0" collapsed="false">
      <c r="B18" s="13" t="s">
        <v>76</v>
      </c>
      <c r="C18" s="13"/>
      <c r="D18" s="13" t="s">
        <v>18</v>
      </c>
      <c r="E18" s="13" t="s">
        <v>21</v>
      </c>
      <c r="F18" s="13" t="s">
        <v>77</v>
      </c>
      <c r="G18" s="13" t="s">
        <v>78</v>
      </c>
      <c r="H18" s="13" t="s">
        <v>79</v>
      </c>
      <c r="I18" s="13" t="s">
        <v>69</v>
      </c>
      <c r="J18" s="13" t="s">
        <v>80</v>
      </c>
      <c r="K18" s="13" t="s">
        <v>81</v>
      </c>
      <c r="L18" s="13" t="s">
        <v>82</v>
      </c>
      <c r="N18" s="42" t="s">
        <v>71</v>
      </c>
      <c r="O18" s="42" t="s">
        <v>73</v>
      </c>
      <c r="P18" s="42" t="s">
        <v>66</v>
      </c>
    </row>
    <row r="19" customFormat="false" ht="24" hidden="false" customHeight="true" outlineLevel="0" collapsed="false">
      <c r="B19" s="14" t="s">
        <v>18</v>
      </c>
      <c r="C19" s="14"/>
      <c r="D19" s="43" t="s">
        <v>83</v>
      </c>
      <c r="E19" s="43" t="s">
        <v>84</v>
      </c>
      <c r="F19" s="43" t="s">
        <v>84</v>
      </c>
      <c r="G19" s="44" t="n">
        <f aca="false">(D19="Yes")*Pts_HighAmount+(E19="Yes")*Pts_HighVelocity+(F19="Yes")*Pts_Duplicate</f>
        <v>30</v>
      </c>
      <c r="H19" s="45" t="n">
        <f aca="false">MIN(G19,MaxScore)</f>
        <v>30</v>
      </c>
      <c r="I19" s="46" t="str">
        <f aca="false">IF(H19&gt;=ReviewThreshold,"FlagForReview","Allow")</f>
        <v>Allow</v>
      </c>
      <c r="J19" s="47" t="n">
        <v>30</v>
      </c>
      <c r="K19" s="48" t="s">
        <v>71</v>
      </c>
      <c r="L19" s="46" t="str">
        <f aca="false">IF(AND(H19=J19,I19=K19),"✓ Matches","✗ Differs")</f>
        <v>✓ Matches</v>
      </c>
      <c r="N19" s="49" t="n">
        <f aca="false">IF(I19="Allow",H19,0)</f>
        <v>30</v>
      </c>
      <c r="O19" s="42" t="n">
        <f aca="false">IF(I19="FlagForReview",H19,0)</f>
        <v>0</v>
      </c>
      <c r="P19" s="42" t="n">
        <f aca="false">ReviewThreshold</f>
        <v>50</v>
      </c>
    </row>
    <row r="20" customFormat="false" ht="24" hidden="false" customHeight="true" outlineLevel="0" collapsed="false">
      <c r="B20" s="14" t="s">
        <v>21</v>
      </c>
      <c r="C20" s="14"/>
      <c r="D20" s="43" t="s">
        <v>84</v>
      </c>
      <c r="E20" s="43" t="s">
        <v>83</v>
      </c>
      <c r="F20" s="43" t="s">
        <v>84</v>
      </c>
      <c r="G20" s="44" t="n">
        <f aca="false">(D20="Yes")*Pts_HighAmount+(E20="Yes")*Pts_HighVelocity+(F20="Yes")*Pts_Duplicate</f>
        <v>40</v>
      </c>
      <c r="H20" s="45" t="n">
        <f aca="false">MIN(G20,MaxScore)</f>
        <v>40</v>
      </c>
      <c r="I20" s="46" t="str">
        <f aca="false">IF(H20&gt;=ReviewThreshold,"FlagForReview","Allow")</f>
        <v>Allow</v>
      </c>
      <c r="J20" s="47" t="n">
        <v>40</v>
      </c>
      <c r="K20" s="48" t="s">
        <v>71</v>
      </c>
      <c r="L20" s="46" t="str">
        <f aca="false">IF(AND(H20=J20,I20=K20),"✓ Matches","✗ Differs")</f>
        <v>✓ Matches</v>
      </c>
      <c r="N20" s="49" t="n">
        <f aca="false">IF(I20="Allow",H20,0)</f>
        <v>40</v>
      </c>
      <c r="O20" s="42" t="n">
        <f aca="false">IF(I20="FlagForReview",H20,0)</f>
        <v>0</v>
      </c>
      <c r="P20" s="42" t="n">
        <f aca="false">ReviewThreshold</f>
        <v>50</v>
      </c>
    </row>
    <row r="21" customFormat="false" ht="24" hidden="false" customHeight="true" outlineLevel="0" collapsed="false">
      <c r="B21" s="14" t="s">
        <v>24</v>
      </c>
      <c r="C21" s="14"/>
      <c r="D21" s="43" t="s">
        <v>84</v>
      </c>
      <c r="E21" s="43" t="s">
        <v>84</v>
      </c>
      <c r="F21" s="43" t="s">
        <v>83</v>
      </c>
      <c r="G21" s="44" t="n">
        <f aca="false">(D21="Yes")*Pts_HighAmount+(E21="Yes")*Pts_HighVelocity+(F21="Yes")*Pts_Duplicate</f>
        <v>50</v>
      </c>
      <c r="H21" s="45" t="n">
        <f aca="false">MIN(G21,MaxScore)</f>
        <v>50</v>
      </c>
      <c r="I21" s="46" t="str">
        <f aca="false">IF(H21&gt;=ReviewThreshold,"FlagForReview","Allow")</f>
        <v>FlagForReview</v>
      </c>
      <c r="J21" s="47" t="n">
        <v>50</v>
      </c>
      <c r="K21" s="48" t="s">
        <v>73</v>
      </c>
      <c r="L21" s="46" t="str">
        <f aca="false">IF(AND(H21=J21,I21=K21),"✓ Matches","✗ Differs")</f>
        <v>✓ Matches</v>
      </c>
      <c r="N21" s="42" t="n">
        <f aca="false">IF(I21="Allow",H21,0)</f>
        <v>0</v>
      </c>
      <c r="O21" s="49" t="n">
        <f aca="false">IF(I21="FlagForReview",H21,0)</f>
        <v>50</v>
      </c>
      <c r="P21" s="42" t="n">
        <f aca="false">ReviewThreshold</f>
        <v>50</v>
      </c>
    </row>
    <row r="22" customFormat="false" ht="24" hidden="false" customHeight="true" outlineLevel="0" collapsed="false">
      <c r="B22" s="14" t="s">
        <v>85</v>
      </c>
      <c r="C22" s="14"/>
      <c r="D22" s="43" t="s">
        <v>83</v>
      </c>
      <c r="E22" s="43" t="s">
        <v>83</v>
      </c>
      <c r="F22" s="43" t="s">
        <v>84</v>
      </c>
      <c r="G22" s="44" t="n">
        <f aca="false">(D22="Yes")*Pts_HighAmount+(E22="Yes")*Pts_HighVelocity+(F22="Yes")*Pts_Duplicate</f>
        <v>70</v>
      </c>
      <c r="H22" s="45" t="n">
        <f aca="false">MIN(G22,MaxScore)</f>
        <v>70</v>
      </c>
      <c r="I22" s="46" t="str">
        <f aca="false">IF(H22&gt;=ReviewThreshold,"FlagForReview","Allow")</f>
        <v>FlagForReview</v>
      </c>
      <c r="J22" s="47" t="n">
        <v>70</v>
      </c>
      <c r="K22" s="48" t="s">
        <v>73</v>
      </c>
      <c r="L22" s="46" t="str">
        <f aca="false">IF(AND(H22=J22,I22=K22),"✓ Matches","✗ Differs")</f>
        <v>✓ Matches</v>
      </c>
      <c r="N22" s="42" t="n">
        <f aca="false">IF(I22="Allow",H22,0)</f>
        <v>0</v>
      </c>
      <c r="O22" s="49" t="n">
        <f aca="false">IF(I22="FlagForReview",H22,0)</f>
        <v>70</v>
      </c>
      <c r="P22" s="42" t="n">
        <f aca="false">ReviewThreshold</f>
        <v>50</v>
      </c>
    </row>
    <row r="23" customFormat="false" ht="24" hidden="false" customHeight="true" outlineLevel="0" collapsed="false">
      <c r="B23" s="14" t="s">
        <v>86</v>
      </c>
      <c r="C23" s="14"/>
      <c r="D23" s="43" t="s">
        <v>83</v>
      </c>
      <c r="E23" s="43" t="s">
        <v>83</v>
      </c>
      <c r="F23" s="43" t="s">
        <v>83</v>
      </c>
      <c r="G23" s="44" t="n">
        <f aca="false">(D23="Yes")*Pts_HighAmount+(E23="Yes")*Pts_HighVelocity+(F23="Yes")*Pts_Duplicate</f>
        <v>120</v>
      </c>
      <c r="H23" s="45" t="n">
        <f aca="false">MIN(G23,MaxScore)</f>
        <v>100</v>
      </c>
      <c r="I23" s="46" t="str">
        <f aca="false">IF(H23&gt;=ReviewThreshold,"FlagForReview","Allow")</f>
        <v>FlagForReview</v>
      </c>
      <c r="J23" s="50" t="n">
        <v>100</v>
      </c>
      <c r="K23" s="48" t="s">
        <v>73</v>
      </c>
      <c r="L23" s="46" t="str">
        <f aca="false">IF(AND(H23=J23,I23=K23),"✓ Matches","✗ Differs")</f>
        <v>✓ Matches</v>
      </c>
      <c r="N23" s="42" t="n">
        <f aca="false">IF(I23="Allow",H23,0)</f>
        <v>0</v>
      </c>
      <c r="O23" s="49" t="n">
        <f aca="false">IF(I23="FlagForReview",H23,0)</f>
        <v>100</v>
      </c>
      <c r="P23" s="42" t="n">
        <f aca="false">ReviewThreshold</f>
        <v>50</v>
      </c>
    </row>
    <row r="24" customFormat="false" ht="15" hidden="false" customHeight="true" outlineLevel="0" collapsed="false">
      <c r="B24" s="51" t="s">
        <v>87</v>
      </c>
      <c r="C24" s="51"/>
      <c r="D24" s="51"/>
      <c r="E24" s="51"/>
      <c r="F24" s="51"/>
      <c r="G24" s="51"/>
      <c r="H24" s="51"/>
      <c r="I24" s="51"/>
      <c r="J24" s="51"/>
      <c r="K24" s="51"/>
      <c r="L24" s="51"/>
    </row>
    <row r="26" customFormat="false" ht="21.75" hidden="false" customHeight="true" outlineLevel="0" collapsed="false">
      <c r="B26" s="12" t="s">
        <v>88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44" customFormat="false" ht="21.75" hidden="false" customHeight="true" outlineLevel="0" collapsed="false">
      <c r="B44" s="12" t="s">
        <v>89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customFormat="false" ht="24" hidden="false" customHeight="true" outlineLevel="0" collapsed="false">
      <c r="B45" s="13" t="s">
        <v>90</v>
      </c>
      <c r="C45" s="13"/>
      <c r="D45" s="13"/>
      <c r="E45" s="13" t="s">
        <v>91</v>
      </c>
      <c r="G45" s="13" t="s">
        <v>92</v>
      </c>
      <c r="H45" s="13"/>
      <c r="I45" s="13"/>
      <c r="J45" s="13" t="s">
        <v>62</v>
      </c>
      <c r="K45" s="13"/>
      <c r="L45" s="13"/>
    </row>
    <row r="46" customFormat="false" ht="25.5" hidden="false" customHeight="true" outlineLevel="0" collapsed="false">
      <c r="B46" s="14" t="s">
        <v>18</v>
      </c>
      <c r="C46" s="14"/>
      <c r="D46" s="14"/>
      <c r="E46" s="38" t="s">
        <v>83</v>
      </c>
      <c r="G46" s="30" t="s">
        <v>78</v>
      </c>
      <c r="H46" s="30"/>
      <c r="I46" s="30"/>
      <c r="J46" s="52" t="n">
        <f aca="false">(E46="Yes")*Pts_HighAmount+(E47="Yes")*Pts_HighVelocity+(E48="Yes")*Pts_Duplicate</f>
        <v>70</v>
      </c>
      <c r="K46" s="52"/>
      <c r="L46" s="52"/>
    </row>
    <row r="47" customFormat="false" ht="25.5" hidden="false" customHeight="true" outlineLevel="0" collapsed="false">
      <c r="B47" s="14" t="s">
        <v>21</v>
      </c>
      <c r="C47" s="14"/>
      <c r="D47" s="14"/>
      <c r="E47" s="38" t="s">
        <v>83</v>
      </c>
      <c r="G47" s="30" t="s">
        <v>93</v>
      </c>
      <c r="H47" s="30"/>
      <c r="I47" s="30"/>
      <c r="J47" s="52" t="n">
        <f aca="false">MIN(J46,MaxScore)</f>
        <v>70</v>
      </c>
      <c r="K47" s="52"/>
      <c r="L47" s="52"/>
    </row>
    <row r="48" customFormat="false" ht="25.5" hidden="false" customHeight="true" outlineLevel="0" collapsed="false">
      <c r="B48" s="14" t="s">
        <v>24</v>
      </c>
      <c r="C48" s="14"/>
      <c r="D48" s="14"/>
      <c r="E48" s="38" t="s">
        <v>94</v>
      </c>
      <c r="G48" s="30" t="s">
        <v>69</v>
      </c>
      <c r="H48" s="30"/>
      <c r="I48" s="30"/>
      <c r="J48" s="53" t="str">
        <f aca="false">IF(J47&gt;=ReviewThreshold,"FlagForReview","Allow")</f>
        <v>FlagForReview</v>
      </c>
      <c r="K48" s="53"/>
      <c r="L48" s="53"/>
    </row>
  </sheetData>
  <mergeCells count="42">
    <mergeCell ref="B1:L2"/>
    <mergeCell ref="B3:K3"/>
    <mergeCell ref="B5:L5"/>
    <mergeCell ref="B6:L6"/>
    <mergeCell ref="B8:D8"/>
    <mergeCell ref="F8:L8"/>
    <mergeCell ref="B9:D9"/>
    <mergeCell ref="F9:L9"/>
    <mergeCell ref="B10:D10"/>
    <mergeCell ref="F10:L10"/>
    <mergeCell ref="B12:L12"/>
    <mergeCell ref="B13:D13"/>
    <mergeCell ref="E13:G13"/>
    <mergeCell ref="H13:L13"/>
    <mergeCell ref="B14:D14"/>
    <mergeCell ref="E14:G14"/>
    <mergeCell ref="H14:L14"/>
    <mergeCell ref="B15:D15"/>
    <mergeCell ref="E15:G15"/>
    <mergeCell ref="H15:L15"/>
    <mergeCell ref="B17:L17"/>
    <mergeCell ref="B18:C18"/>
    <mergeCell ref="B19:C19"/>
    <mergeCell ref="B20:C20"/>
    <mergeCell ref="B21:C21"/>
    <mergeCell ref="B22:C22"/>
    <mergeCell ref="B23:C23"/>
    <mergeCell ref="B24:L24"/>
    <mergeCell ref="B26:L26"/>
    <mergeCell ref="B44:L44"/>
    <mergeCell ref="B45:D45"/>
    <mergeCell ref="G45:I45"/>
    <mergeCell ref="J45:L45"/>
    <mergeCell ref="B46:D46"/>
    <mergeCell ref="G46:I46"/>
    <mergeCell ref="J46:L46"/>
    <mergeCell ref="B47:D47"/>
    <mergeCell ref="G47:I47"/>
    <mergeCell ref="J47:L47"/>
    <mergeCell ref="B48:D48"/>
    <mergeCell ref="G48:I48"/>
    <mergeCell ref="J48:L48"/>
  </mergeCells>
  <conditionalFormatting sqref="D19:F23">
    <cfRule type="cellIs" priority="2" operator="equal" aboveAverage="0" equalAverage="0" bottom="0" percent="0" rank="0" text="" dxfId="0">
      <formula>"Yes"</formula>
    </cfRule>
  </conditionalFormatting>
  <conditionalFormatting sqref="I19:I23">
    <cfRule type="cellIs" priority="3" operator="equal" aboveAverage="0" equalAverage="0" bottom="0" percent="0" rank="0" text="" dxfId="1">
      <formula>"FlagForReview"</formula>
    </cfRule>
    <cfRule type="cellIs" priority="4" operator="equal" aboveAverage="0" equalAverage="0" bottom="0" percent="0" rank="0" text="" dxfId="2">
      <formula>"Allow"</formula>
    </cfRule>
  </conditionalFormatting>
  <conditionalFormatting sqref="L19:L23">
    <cfRule type="cellIs" priority="5" operator="equal" aboveAverage="0" equalAverage="0" bottom="0" percent="0" rank="0" text="" dxfId="2">
      <formula>"✓ Matches"</formula>
    </cfRule>
    <cfRule type="cellIs" priority="6" operator="equal" aboveAverage="0" equalAverage="0" bottom="0" percent="0" rank="0" text="" dxfId="1">
      <formula>"✗ Differs"</formula>
    </cfRule>
  </conditionalFormatting>
  <conditionalFormatting sqref="J48:L48">
    <cfRule type="cellIs" priority="7" operator="equal" aboveAverage="0" equalAverage="0" bottom="0" percent="0" rank="0" text="" dxfId="3">
      <formula>"FlagForReview"</formula>
    </cfRule>
    <cfRule type="cellIs" priority="8" operator="equal" aboveAverage="0" equalAverage="0" bottom="0" percent="0" rank="0" text="" dxfId="4">
      <formula>"Allow"</formula>
    </cfRule>
  </conditionalFormatting>
  <dataValidations count="1">
    <dataValidation allowBlank="false" error="Choose Yes or No." errorStyle="stop" errorTitle="Yes or No" operator="between" showDropDown="false" showErrorMessage="true" showInputMessage="false" sqref="E46:E48" type="list">
      <formula1>"Yes,No"</formula1>
      <formula2>0</formula2>
    </dataValidation>
  </dataValidations>
  <hyperlinks>
    <hyperlink ref="L3" location="Overview!A1" display="← Overvie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5" man="true" max="16383" min="0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8" min="3" style="0" width="15"/>
  </cols>
  <sheetData>
    <row r="1" customFormat="false" ht="24" hidden="false" customHeight="true" outlineLevel="0" collapsed="false">
      <c r="B1" s="1" t="s">
        <v>95</v>
      </c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B2" s="1"/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B3" s="2" t="s">
        <v>96</v>
      </c>
      <c r="C3" s="2"/>
      <c r="D3" s="2"/>
      <c r="E3" s="2"/>
      <c r="F3" s="2"/>
      <c r="G3" s="2"/>
      <c r="H3" s="27" t="s">
        <v>42</v>
      </c>
    </row>
    <row r="5" customFormat="false" ht="48" hidden="false" customHeight="true" outlineLevel="0" collapsed="false">
      <c r="B5" s="54" t="s">
        <v>97</v>
      </c>
      <c r="C5" s="54"/>
      <c r="D5" s="54"/>
      <c r="E5" s="54"/>
      <c r="F5" s="54"/>
      <c r="G5" s="54"/>
      <c r="H5" s="54"/>
    </row>
    <row r="7" customFormat="false" ht="21.75" hidden="false" customHeight="true" outlineLevel="0" collapsed="false">
      <c r="B7" s="12" t="s">
        <v>98</v>
      </c>
      <c r="C7" s="12"/>
      <c r="D7" s="12"/>
      <c r="E7" s="12"/>
      <c r="F7" s="12"/>
      <c r="G7" s="12"/>
      <c r="H7" s="12"/>
    </row>
    <row r="8" customFormat="false" ht="43.5" hidden="false" customHeight="true" outlineLevel="0" collapsed="false">
      <c r="B8" s="40" t="s">
        <v>71</v>
      </c>
      <c r="C8" s="17" t="s">
        <v>99</v>
      </c>
      <c r="D8" s="17"/>
      <c r="E8" s="17"/>
      <c r="F8" s="17"/>
      <c r="G8" s="17"/>
      <c r="H8" s="17"/>
    </row>
    <row r="9" customFormat="false" ht="43.5" hidden="false" customHeight="true" outlineLevel="0" collapsed="false">
      <c r="B9" s="41" t="s">
        <v>73</v>
      </c>
      <c r="C9" s="17" t="s">
        <v>100</v>
      </c>
      <c r="D9" s="17"/>
      <c r="E9" s="17"/>
      <c r="F9" s="17"/>
      <c r="G9" s="17"/>
      <c r="H9" s="17"/>
    </row>
    <row r="10" customFormat="false" ht="43.5" hidden="false" customHeight="true" outlineLevel="0" collapsed="false">
      <c r="B10" s="55" t="s">
        <v>101</v>
      </c>
      <c r="C10" s="17" t="s">
        <v>102</v>
      </c>
      <c r="D10" s="17"/>
      <c r="E10" s="17"/>
      <c r="F10" s="17"/>
      <c r="G10" s="17"/>
      <c r="H10" s="17"/>
    </row>
  </sheetData>
  <mergeCells count="7">
    <mergeCell ref="B1:H2"/>
    <mergeCell ref="B3:G3"/>
    <mergeCell ref="B5:H5"/>
    <mergeCell ref="B7:H7"/>
    <mergeCell ref="C8:H8"/>
    <mergeCell ref="C9:H9"/>
    <mergeCell ref="C10:H10"/>
  </mergeCells>
  <hyperlinks>
    <hyperlink ref="H3" location="Overview!A1" display="← Overvie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2026-10-27T06:24:21Z</dcterms:created>
  <dc:creator>openpyxl</dc:creator>
  <dc:description/>
  <dc:language>en-US</dc:language>
  <cp:lastModifiedBy/>
  <dcterms:modified xsi:type="dcterms:W3CDTF">2026-10-27T06:24:22Z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